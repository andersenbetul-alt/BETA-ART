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sayimlar" sheetId="1" state="visible" r:id="rId1"/>
    <sheet name="Ziyaret Maliyet Modeli" sheetId="2" state="visible" r:id="rId2"/>
    <sheet name="Fiyat Senaryolari" sheetId="3" state="visible" r:id="rId3"/>
    <sheet name="Kapasite Senaryos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&quot; kr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b val="1"/>
      <color rgb="00FFFFFF"/>
    </font>
    <font>
      <name val="Arial"/>
    </font>
    <font>
      <name val="Arial"/>
      <color rgb="000000FF"/>
    </font>
    <font>
      <name val="Arial"/>
      <i val="1"/>
      <color rgb="00808080"/>
    </font>
    <font>
      <name val="Arial"/>
      <i val="1"/>
      <color rgb="00808080"/>
      <sz val="9"/>
    </font>
    <font>
      <color rgb="000000FF"/>
    </font>
    <font>
      <name val="Arial"/>
      <color rgb="00008000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5" fillId="0" borderId="0" applyAlignment="1" pivotButton="0" quotePrefix="0" xfId="0">
      <alignment vertical="top" wrapText="1"/>
    </xf>
    <xf numFmtId="164" fontId="6" fillId="3" borderId="0" pivotButton="0" quotePrefix="0" xfId="0"/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165" fontId="0" fillId="0" borderId="0" pivotButton="0" quotePrefix="0" xfId="0"/>
    <xf numFmtId="165" fontId="3" fillId="0" borderId="0" pivotButton="0" quotePrefix="0" xfId="0"/>
    <xf numFmtId="165" fontId="7" fillId="0" borderId="0" pivotButton="0" quotePrefix="0" xfId="0"/>
    <xf numFmtId="0" fontId="8" fillId="0" borderId="0" applyAlignment="1" pivotButton="0" quotePrefix="0" xfId="0">
      <alignment wrapText="1"/>
    </xf>
    <xf numFmtId="0" fontId="9" fillId="3" borderId="0" pivotButton="0" quotePrefix="0" xfId="0"/>
    <xf numFmtId="165" fontId="10" fillId="0" borderId="0" pivotButton="0" quotePrefix="0" xfId="0"/>
    <xf numFmtId="164" fontId="3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70" customWidth="1" min="3" max="3"/>
  </cols>
  <sheetData>
    <row r="1">
      <c r="A1" s="1" t="inlineStr">
        <is>
          <t>NAVIAR Care — Pilot birim ekonomisi: varsayımlar</t>
        </is>
      </c>
    </row>
    <row r="3">
      <c r="A3" s="2" t="inlineStr">
        <is>
          <t>Mavi hücreler girdi/varsayımdır — değiştirilebilir. Siyah hücreler formüldür.</t>
        </is>
      </c>
    </row>
    <row r="5">
      <c r="A5" s="3" t="inlineStr">
        <is>
          <t>Kalem</t>
        </is>
      </c>
      <c r="B5" s="3" t="inlineStr">
        <is>
          <t>Değer</t>
        </is>
      </c>
      <c r="C5" s="3" t="inlineStr">
        <is>
          <t>Kaynak / not</t>
        </is>
      </c>
    </row>
    <row r="6" ht="32" customHeight="1">
      <c r="A6" s="4" t="inlineStr">
        <is>
          <t>Yardımcı brüt saat ücreti (kr)</t>
        </is>
      </c>
      <c r="B6" s="5" t="n">
        <v>250</v>
      </c>
      <c r="C6" s="6" t="inlineStr">
        <is>
          <t>Varsayım — SeniorSupport besøksvenn honorarı 270 kr/saat bulundu, ama o gönüllü/honorar modeli; istihdamlı ücret farklı olabilir. TEYIT EDİLMELİ.</t>
        </is>
      </c>
    </row>
    <row r="7" ht="32" customHeight="1">
      <c r="A7" s="4" t="inlineStr">
        <is>
          <t>Arbeidsgiveravgift — AGA (Oslo, Sone 1)</t>
        </is>
      </c>
      <c r="B7" s="7" t="n">
        <v>0.141</v>
      </c>
      <c r="C7" s="6" t="inlineStr">
        <is>
          <t>Arama özeti, Skatteetaten 2026 — doğrudan okunmadı, teyit edilmeli</t>
        </is>
      </c>
    </row>
    <row r="8" ht="32" customHeight="1">
      <c r="A8" s="4" t="inlineStr">
        <is>
          <t>Feriepenger (yasal asgari)</t>
        </is>
      </c>
      <c r="B8" s="7" t="n">
        <v>0.102</v>
      </c>
      <c r="C8" s="6" t="inlineStr">
        <is>
          <t>Genel bilgi, Ferieloven §10 — teyit edilmeli</t>
        </is>
      </c>
    </row>
    <row r="9" ht="32" customHeight="1">
      <c r="A9" s="4" t="inlineStr">
        <is>
          <t>OTP — zorunlu mesleki emeklilik (asgari)</t>
        </is>
      </c>
      <c r="B9" s="7" t="n">
        <v>0.02</v>
      </c>
      <c r="C9" s="6" t="inlineStr">
        <is>
          <t>Genel bilgi, OTP-loven, 1G-12G bandı — teyit edilmeli</t>
        </is>
      </c>
    </row>
    <row r="10" ht="32" customHeight="1">
      <c r="A10" s="4" t="inlineStr">
        <is>
          <t>Yrkesskadeforsikring (zorunlu iş kazası sigortası)</t>
        </is>
      </c>
      <c r="B10" s="7" t="n">
        <v>0.0075</v>
      </c>
      <c r="C10" s="6" t="inlineStr">
        <is>
          <t>Kaba tahmin, branşa göre değişir — TEYIT EDİLMELİ, muhasebeciden kesin oran istenmeli</t>
        </is>
      </c>
    </row>
    <row r="11" ht="32" customHeight="1">
      <c r="A11" s="4" t="inlineStr">
        <is>
          <t>MVA oranı</t>
        </is>
      </c>
      <c r="B11" s="7" t="n">
        <v>0.25</v>
      </c>
      <c r="C11" s="6" t="inlineStr">
        <is>
          <t>VAT Act standart oran — hizmet §5b sağlık muafiyetine girmiyor (kasıtlı tasarım), bkz. NAVIAR-CARE-IS-MODELI-KRITIK-ANALIZ.md §7</t>
        </is>
      </c>
    </row>
    <row r="12" ht="32" customHeight="1">
      <c r="A12" s="4" t="inlineStr">
        <is>
          <t>Seyahat süresi, ödenen (dakika/ziyaret)</t>
        </is>
      </c>
      <c r="B12" s="5" t="n">
        <v>20</v>
      </c>
      <c r="C12" s="6" t="inlineStr">
        <is>
          <t>Varsayım — plan 'paid travel/time between visits' diyor, rakam vermiyor</t>
        </is>
      </c>
    </row>
    <row r="13" ht="32" customHeight="1">
      <c r="A13" s="4" t="inlineStr">
        <is>
          <t>Koordinasyon payı (kr/saat, ziyaret başına)</t>
        </is>
      </c>
      <c r="B13" s="5" t="n">
        <v>60</v>
      </c>
      <c r="C13" s="6" t="inlineStr">
        <is>
          <t>Varsayım — koordinatör zamanı + CRM + genel gider payı</t>
        </is>
      </c>
    </row>
    <row r="14" ht="32" customHeight="1">
      <c r="A14" s="4" t="inlineStr">
        <is>
          <t>Ödeme işleme oranı</t>
        </is>
      </c>
      <c r="B14" s="7" t="n">
        <v>0.02</v>
      </c>
      <c r="C14" s="6" t="inlineStr">
        <is>
          <t>Varsayım — kart/fatura işleme tipik oranı</t>
        </is>
      </c>
    </row>
    <row r="15" ht="32" customHeight="1">
      <c r="A15" s="4" t="inlineStr">
        <is>
          <t>Hedef katkı marjı</t>
        </is>
      </c>
      <c r="B15" s="7" t="n">
        <v>0.3</v>
      </c>
      <c r="C15" s="6" t="inlineStr">
        <is>
          <t>Plan — 'Margin guardrail' (Task 2, Commercial Hypotheses)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3" customWidth="1" min="4" max="4"/>
    <col width="11" customWidth="1" min="5" max="5"/>
    <col width="12" customWidth="1" min="6" max="6"/>
    <col width="17" customWidth="1" min="7" max="7"/>
    <col width="13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NAVIAR Care — Ziyaret başına maliyetlendirilmiş model (90/120/180 dk)</t>
        </is>
      </c>
    </row>
    <row r="2" ht="28" customHeight="1">
      <c r="A2" s="8" t="inlineStr">
        <is>
          <t>Kaynak: Pilot Implementation Plan, Task 1 Step 3 — 'Model each visit with helper gross pay, employer costs, paid travel/time, insurance, coordination, payment processing.' Ortalanmış maliyet kullanılmaz (plan uyarısı).</t>
        </is>
      </c>
    </row>
    <row r="4" ht="44" customHeight="1">
      <c r="A4" s="9" t="inlineStr">
        <is>
          <t>Ziyaret süresi (dk)</t>
        </is>
      </c>
      <c r="B4" s="9" t="inlineStr">
        <is>
          <t>Yardımcı brüt ücret (kr)</t>
        </is>
      </c>
      <c r="C4" s="9" t="inlineStr">
        <is>
          <t>+ Feriepenger (kr)</t>
        </is>
      </c>
      <c r="D4" s="9" t="inlineStr">
        <is>
          <t>+ AGA (kr)</t>
        </is>
      </c>
      <c r="E4" s="9" t="inlineStr">
        <is>
          <t>+ OTP (kr)</t>
        </is>
      </c>
      <c r="F4" s="9" t="inlineStr">
        <is>
          <t>+ Sigorta (kr)</t>
        </is>
      </c>
      <c r="G4" s="9" t="inlineStr">
        <is>
          <t>Yüklü yardımcı maliyeti (kr)</t>
        </is>
      </c>
      <c r="H4" s="9" t="inlineStr">
        <is>
          <t>+ Seyahat (kr)</t>
        </is>
      </c>
      <c r="I4" s="9" t="inlineStr">
        <is>
          <t>+ Koordinasyon (kr)</t>
        </is>
      </c>
      <c r="J4" s="9" t="inlineStr">
        <is>
          <t>+ Ödeme işleme (kr)</t>
        </is>
      </c>
      <c r="K4" s="9" t="inlineStr">
        <is>
          <t>Toplam maliyet (kr)</t>
        </is>
      </c>
    </row>
    <row r="5">
      <c r="A5" s="4" t="n">
        <v>90</v>
      </c>
      <c r="B5" s="10">
        <f>Varsayimlar!$B$6*(A5/60)</f>
        <v/>
      </c>
      <c r="C5" s="10">
        <f>B5*Varsayimlar!$B$8</f>
        <v/>
      </c>
      <c r="D5" s="10">
        <f>(B5+C5)*Varsayimlar!$B$7</f>
        <v/>
      </c>
      <c r="E5" s="10">
        <f>B5*Varsayimlar!$B$9</f>
        <v/>
      </c>
      <c r="F5" s="10">
        <f>B5*Varsayimlar!$B$10</f>
        <v/>
      </c>
      <c r="G5" s="11">
        <f>SUM(B5:F5)</f>
        <v/>
      </c>
      <c r="H5" s="10">
        <f>Varsayimlar!$B$6*(Varsayimlar!$B$12/60)*(1+Varsayimlar!$B$8+Varsayimlar!$B$7+Varsayimlar!$B$9+Varsayimlar!$B$10)</f>
        <v/>
      </c>
      <c r="I5" s="10">
        <f>Varsayimlar!$B$13*(A5/60)</f>
        <v/>
      </c>
      <c r="J5" s="12" t="n">
        <v>0</v>
      </c>
      <c r="K5" s="11">
        <f>SUM(G5:J5)</f>
        <v/>
      </c>
    </row>
    <row r="6">
      <c r="A6" s="4" t="n">
        <v>120</v>
      </c>
      <c r="B6" s="10">
        <f>Varsayimlar!$B$6*(A6/60)</f>
        <v/>
      </c>
      <c r="C6" s="10">
        <f>B6*Varsayimlar!$B$8</f>
        <v/>
      </c>
      <c r="D6" s="10">
        <f>(B6+C6)*Varsayimlar!$B$7</f>
        <v/>
      </c>
      <c r="E6" s="10">
        <f>B6*Varsayimlar!$B$9</f>
        <v/>
      </c>
      <c r="F6" s="10">
        <f>B6*Varsayimlar!$B$10</f>
        <v/>
      </c>
      <c r="G6" s="11">
        <f>SUM(B6:F6)</f>
        <v/>
      </c>
      <c r="H6" s="10">
        <f>Varsayimlar!$B$6*(Varsayimlar!$B$12/60)*(1+Varsayimlar!$B$8+Varsayimlar!$B$7+Varsayimlar!$B$9+Varsayimlar!$B$10)</f>
        <v/>
      </c>
      <c r="I6" s="10">
        <f>Varsayimlar!$B$13*(A6/60)</f>
        <v/>
      </c>
      <c r="J6" s="12" t="n">
        <v>0</v>
      </c>
      <c r="K6" s="11">
        <f>SUM(G6:J6)</f>
        <v/>
      </c>
    </row>
    <row r="7">
      <c r="A7" s="4" t="n">
        <v>180</v>
      </c>
      <c r="B7" s="10">
        <f>Varsayimlar!$B$6*(A7/60)</f>
        <v/>
      </c>
      <c r="C7" s="10">
        <f>B7*Varsayimlar!$B$8</f>
        <v/>
      </c>
      <c r="D7" s="10">
        <f>(B7+C7)*Varsayimlar!$B$7</f>
        <v/>
      </c>
      <c r="E7" s="10">
        <f>B7*Varsayimlar!$B$9</f>
        <v/>
      </c>
      <c r="F7" s="10">
        <f>B7*Varsayimlar!$B$10</f>
        <v/>
      </c>
      <c r="G7" s="11">
        <f>SUM(B7:F7)</f>
        <v/>
      </c>
      <c r="H7" s="10">
        <f>Varsayimlar!$B$6*(Varsayimlar!$B$12/60)*(1+Varsayimlar!$B$8+Varsayimlar!$B$7+Varsayimlar!$B$9+Varsayimlar!$B$10)</f>
        <v/>
      </c>
      <c r="I7" s="10">
        <f>Varsayimlar!$B$13*(A7/60)</f>
        <v/>
      </c>
      <c r="J7" s="12" t="n">
        <v>0</v>
      </c>
      <c r="K7" s="11">
        <f>SUM(G7:J7)</f>
        <v/>
      </c>
    </row>
    <row r="9" ht="28" customHeight="1">
      <c r="A9" s="13" t="inlineStr">
        <is>
          <t>Not: Ödeme işleme maliyeti fiyata bağlı olduğu için 'Fiyat Senaryoları' sayfasında hesaplanır, buraya 0 girildi — o sayfadaki toplam maliyet bu boşluğu doldurur.</t>
        </is>
      </c>
    </row>
  </sheetData>
  <mergeCells count="2">
    <mergeCell ref="A9:K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2" customWidth="1" min="4" max="4"/>
    <col width="16" customWidth="1" min="5" max="5"/>
    <col width="15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NAVIAR Care — Fiyat senaryoları ve katkı marjı testi</t>
        </is>
      </c>
    </row>
    <row r="2">
      <c r="A2" s="2" t="inlineStr">
        <is>
          <t>Kaynak: Plan Task 2 — 'Test NOK 895–995/hour... Pause growth and change price if rolling four-week margin is below 30%.'</t>
        </is>
      </c>
    </row>
    <row r="4" ht="44" customHeight="1">
      <c r="A4" s="9" t="inlineStr">
        <is>
          <t>Ziyaret süresi (dk)</t>
        </is>
      </c>
      <c r="B4" s="9" t="inlineStr">
        <is>
          <t>Müşteri fiyatı (kr/saat)</t>
        </is>
      </c>
      <c r="C4" s="9" t="inlineStr">
        <is>
          <t>Müşteri fiyatı (ziyaret, KDV dahil)</t>
        </is>
      </c>
      <c r="D4" s="9" t="inlineStr">
        <is>
          <t>MVA (kr)</t>
        </is>
      </c>
      <c r="E4" s="9" t="inlineStr">
        <is>
          <t>Net gelir (KDV hariç)</t>
        </is>
      </c>
      <c r="F4" s="9" t="inlineStr">
        <is>
          <t>Ödeme işleme (kr)</t>
        </is>
      </c>
      <c r="G4" s="9" t="inlineStr">
        <is>
          <t>Toplam maliyet (kr, Sayfa 2'den + işleme)</t>
        </is>
      </c>
      <c r="H4" s="9" t="inlineStr">
        <is>
          <t>Katkı (kr)</t>
        </is>
      </c>
      <c r="I4" s="9" t="inlineStr">
        <is>
          <t>Katkı marjı (%)</t>
        </is>
      </c>
    </row>
    <row r="5">
      <c r="A5" s="4" t="n">
        <v>90</v>
      </c>
      <c r="B5" s="14" t="n">
        <v>895</v>
      </c>
      <c r="C5" s="10">
        <f>B5*(A5/60)</f>
        <v/>
      </c>
      <c r="D5" s="10">
        <f>C5*(Varsayimlar!$B$11/(1+Varsayimlar!$B$11))</f>
        <v/>
      </c>
      <c r="E5" s="10">
        <f>C5-D5</f>
        <v/>
      </c>
      <c r="F5" s="10">
        <f>C5*Varsayimlar!$B$14</f>
        <v/>
      </c>
      <c r="G5" s="15">
        <f>'Ziyaret Maliyet Modeli'!G5+'Ziyaret Maliyet Modeli'!H5+'Ziyaret Maliyet Modeli'!I5+F5</f>
        <v/>
      </c>
      <c r="H5" s="11">
        <f>E5-G5</f>
        <v/>
      </c>
      <c r="I5" s="16">
        <f>IF(E5=0,0,H5/E5)</f>
        <v/>
      </c>
    </row>
    <row r="6">
      <c r="A6" s="4" t="n">
        <v>90</v>
      </c>
      <c r="B6" s="14" t="n">
        <v>995</v>
      </c>
      <c r="C6" s="10">
        <f>B6*(A6/60)</f>
        <v/>
      </c>
      <c r="D6" s="10">
        <f>C6*(Varsayimlar!$B$11/(1+Varsayimlar!$B$11))</f>
        <v/>
      </c>
      <c r="E6" s="10">
        <f>C6-D6</f>
        <v/>
      </c>
      <c r="F6" s="10">
        <f>C6*Varsayimlar!$B$14</f>
        <v/>
      </c>
      <c r="G6" s="15">
        <f>'Ziyaret Maliyet Modeli'!G5+'Ziyaret Maliyet Modeli'!H5+'Ziyaret Maliyet Modeli'!I5+F6</f>
        <v/>
      </c>
      <c r="H6" s="11">
        <f>E6-G6</f>
        <v/>
      </c>
      <c r="I6" s="16">
        <f>IF(E6=0,0,H6/E6)</f>
        <v/>
      </c>
    </row>
    <row r="7">
      <c r="A7" s="4" t="n">
        <v>120</v>
      </c>
      <c r="B7" s="14" t="n">
        <v>895</v>
      </c>
      <c r="C7" s="10">
        <f>B7*(A7/60)</f>
        <v/>
      </c>
      <c r="D7" s="10">
        <f>C7*(Varsayimlar!$B$11/(1+Varsayimlar!$B$11))</f>
        <v/>
      </c>
      <c r="E7" s="10">
        <f>C7-D7</f>
        <v/>
      </c>
      <c r="F7" s="10">
        <f>C7*Varsayimlar!$B$14</f>
        <v/>
      </c>
      <c r="G7" s="15">
        <f>'Ziyaret Maliyet Modeli'!G6+'Ziyaret Maliyet Modeli'!H6+'Ziyaret Maliyet Modeli'!I6+F7</f>
        <v/>
      </c>
      <c r="H7" s="11">
        <f>E7-G7</f>
        <v/>
      </c>
      <c r="I7" s="16">
        <f>IF(E7=0,0,H7/E7)</f>
        <v/>
      </c>
    </row>
    <row r="8">
      <c r="A8" s="4" t="n">
        <v>120</v>
      </c>
      <c r="B8" s="14" t="n">
        <v>995</v>
      </c>
      <c r="C8" s="10">
        <f>B8*(A8/60)</f>
        <v/>
      </c>
      <c r="D8" s="10">
        <f>C8*(Varsayimlar!$B$11/(1+Varsayimlar!$B$11))</f>
        <v/>
      </c>
      <c r="E8" s="10">
        <f>C8-D8</f>
        <v/>
      </c>
      <c r="F8" s="10">
        <f>C8*Varsayimlar!$B$14</f>
        <v/>
      </c>
      <c r="G8" s="15">
        <f>'Ziyaret Maliyet Modeli'!G6+'Ziyaret Maliyet Modeli'!H6+'Ziyaret Maliyet Modeli'!I6+F8</f>
        <v/>
      </c>
      <c r="H8" s="11">
        <f>E8-G8</f>
        <v/>
      </c>
      <c r="I8" s="16">
        <f>IF(E8=0,0,H8/E8)</f>
        <v/>
      </c>
    </row>
    <row r="9">
      <c r="A9" s="4" t="n">
        <v>180</v>
      </c>
      <c r="B9" s="14" t="n">
        <v>895</v>
      </c>
      <c r="C9" s="10">
        <f>B9*(A9/60)</f>
        <v/>
      </c>
      <c r="D9" s="10">
        <f>C9*(Varsayimlar!$B$11/(1+Varsayimlar!$B$11))</f>
        <v/>
      </c>
      <c r="E9" s="10">
        <f>C9-D9</f>
        <v/>
      </c>
      <c r="F9" s="10">
        <f>C9*Varsayimlar!$B$14</f>
        <v/>
      </c>
      <c r="G9" s="15">
        <f>'Ziyaret Maliyet Modeli'!G7+'Ziyaret Maliyet Modeli'!H7+'Ziyaret Maliyet Modeli'!I7+F9</f>
        <v/>
      </c>
      <c r="H9" s="11">
        <f>E9-G9</f>
        <v/>
      </c>
      <c r="I9" s="16">
        <f>IF(E9=0,0,H9/E9)</f>
        <v/>
      </c>
    </row>
    <row r="10">
      <c r="A10" s="4" t="n">
        <v>180</v>
      </c>
      <c r="B10" s="14" t="n">
        <v>995</v>
      </c>
      <c r="C10" s="10">
        <f>B10*(A10/60)</f>
        <v/>
      </c>
      <c r="D10" s="10">
        <f>C10*(Varsayimlar!$B$11/(1+Varsayimlar!$B$11))</f>
        <v/>
      </c>
      <c r="E10" s="10">
        <f>C10-D10</f>
        <v/>
      </c>
      <c r="F10" s="10">
        <f>C10*Varsayimlar!$B$14</f>
        <v/>
      </c>
      <c r="G10" s="15">
        <f>'Ziyaret Maliyet Modeli'!G7+'Ziyaret Maliyet Modeli'!H7+'Ziyaret Maliyet Modeli'!I7+F10</f>
        <v/>
      </c>
      <c r="H10" s="11">
        <f>E10-G10</f>
        <v/>
      </c>
      <c r="I10" s="16">
        <f>IF(E10=0,0,H10/E10)</f>
        <v/>
      </c>
    </row>
    <row r="12">
      <c r="A12" s="17" t="inlineStr">
        <is>
          <t>Hedef katkı marjı (Varsayımlar sayfası):</t>
        </is>
      </c>
      <c r="B12" s="18">
        <f>Varsayimlar!$B$15</f>
        <v/>
      </c>
    </row>
    <row r="13">
      <c r="A13" s="17" t="inlineStr">
        <is>
          <t>Yukarıdaki 6 senaryodan hedefi geçenler:</t>
        </is>
      </c>
      <c r="B13">
        <f>COUNTIF(I5:I10,"&gt;="&amp;B12)&amp;" / 6"</f>
        <v/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2" customWidth="1" min="4" max="4"/>
  </cols>
  <sheetData>
    <row r="1">
      <c r="A1" s="1" t="inlineStr">
        <is>
          <t>NAVIAR Care — Kapasite ve büyüklük senaryosu (plan tablosu, referans)</t>
        </is>
      </c>
    </row>
    <row r="2" ht="28" customHeight="1">
      <c r="A2" s="8" t="inlineStr">
        <is>
          <t>Kaynak: Plan, 'Capacity and economics: planning scenario, not forecast.' Yıl-3 sütunu YÖN, taahhüt DEĞİL — plan kendi ifadesiyle böyle diyor.</t>
        </is>
      </c>
    </row>
    <row r="4">
      <c r="A4" s="3" t="inlineStr">
        <is>
          <t>Ölçüt</t>
        </is>
      </c>
      <c r="B4" s="3" t="inlineStr">
        <is>
          <t>90 gün kanıt hedefi</t>
        </is>
      </c>
      <c r="C4" s="3" t="inlineStr">
        <is>
          <t>Yıl 1 çıkış hedefi</t>
        </is>
      </c>
      <c r="D4" s="3" t="inlineStr">
        <is>
          <t>Yıl 3 yön (taahhüt değil)</t>
        </is>
      </c>
    </row>
    <row r="5">
      <c r="A5" s="19" t="inlineStr">
        <is>
          <t>Aktif ödeyen aile</t>
        </is>
      </c>
      <c r="B5" s="19" t="inlineStr">
        <is>
          <t>10-20</t>
        </is>
      </c>
      <c r="C5" s="19" t="inlineStr">
        <is>
          <t>55</t>
        </is>
      </c>
      <c r="D5" s="19" t="inlineStr">
        <is>
          <t>400</t>
        </is>
      </c>
    </row>
    <row r="6">
      <c r="A6" s="19" t="inlineStr">
        <is>
          <t>Sunulan hizmet saati/hafta</t>
        </is>
      </c>
      <c r="B6" s="19" t="inlineStr">
        <is>
          <t>30-60</t>
        </is>
      </c>
      <c r="C6" s="19" t="inlineStr">
        <is>
          <t>160</t>
        </is>
      </c>
      <c r="D6" s="19" t="inlineStr">
        <is>
          <t>1.200</t>
        </is>
      </c>
    </row>
    <row r="7">
      <c r="A7" s="19" t="inlineStr">
        <is>
          <t>Tercih edilen/yedek yardımcı çifti</t>
        </is>
      </c>
      <c r="B7" s="19" t="inlineStr">
        <is>
          <t>5-8 yardımcı</t>
        </is>
      </c>
      <c r="C7" s="19" t="inlineStr">
        <is>
          <t>18-24 yardımcı</t>
        </is>
      </c>
      <c r="D7" s="19" t="inlineStr">
        <is>
          <t>100+ yardımcı (yerel ekipler)</t>
        </is>
      </c>
    </row>
    <row r="8">
      <c r="A8" s="19" t="inlineStr">
        <is>
          <t>Operasyon coğrafyası</t>
        </is>
      </c>
      <c r="B8" s="19" t="inlineStr">
        <is>
          <t>4 iç Oslo bölgesi</t>
        </is>
      </c>
      <c r="C8" s="19" t="inlineStr">
        <is>
          <t>Oslo yoğunluk kümeleri</t>
        </is>
      </c>
      <c r="D8" s="19" t="inlineStr">
        <is>
          <t>Önce Oslo; yeni şehir yalnız Oslo playbook'u kararlıysa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2026-08-26T00:57:13Z</dcterms:created>
  <dcterms:modified xsi:type="dcterms:W3CDTF">2026-08-26T00:57:13Z</dcterms:modified>
</cp:coreProperties>
</file>