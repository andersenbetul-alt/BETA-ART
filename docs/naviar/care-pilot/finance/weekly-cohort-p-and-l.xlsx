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ftalik Kohort P&amp;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 kr&quot;"/>
    <numFmt numFmtId="165" formatCode="0.0%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color rgb="00FFFFFF"/>
    </font>
    <font>
      <name val="Arial"/>
      <b val="1"/>
    </font>
    <font>
      <name val="Arial"/>
      <color rgb="000000FF"/>
    </font>
    <font>
      <name val="Arial"/>
      <i val="1"/>
      <color rgb="00808080"/>
    </font>
    <font>
      <name val="Arial"/>
      <i val="1"/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0A1628"/>
        <bgColor rgb="000A1628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0" applyAlignment="1" pivotButton="0" quotePrefix="0" xfId="0">
      <alignment vertical="center" wrapText="1"/>
    </xf>
    <xf numFmtId="0" fontId="4" fillId="0" borderId="0" pivotButton="0" quotePrefix="0" xfId="0"/>
    <xf numFmtId="0" fontId="5" fillId="3" borderId="0" pivotButton="0" quotePrefix="0" xfId="0"/>
    <xf numFmtId="164" fontId="0" fillId="0" borderId="0" pivotButton="0" quotePrefix="0" xfId="0"/>
    <xf numFmtId="164" fontId="6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0" fontId="0" fillId="3" borderId="0" pivotButton="0" quotePrefix="0" xfId="0"/>
    <xf numFmtId="0" fontId="7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6" customWidth="1" min="3" max="3"/>
    <col width="14" customWidth="1" min="4" max="4"/>
    <col width="16" customWidth="1" min="5" max="5"/>
    <col width="14" customWidth="1" min="6" max="6"/>
    <col width="11" customWidth="1" min="7" max="7"/>
    <col width="13" customWidth="1" min="8" max="8"/>
    <col width="15" customWidth="1" min="9" max="9"/>
    <col width="16" customWidth="1" min="10" max="10"/>
    <col width="13" customWidth="1" min="11" max="11"/>
    <col width="15" customWidth="1" min="12" max="12"/>
    <col width="12" customWidth="1" min="13" max="13"/>
    <col width="12" customWidth="1" min="14" max="14"/>
  </cols>
  <sheetData>
    <row r="1">
      <c r="A1" s="1" t="inlineStr">
        <is>
          <t>NAVIAR Care — Haftalık kohort P&amp;L takip şablonu</t>
        </is>
      </c>
    </row>
    <row r="2" ht="40" customHeight="1">
      <c r="A2" s="2" t="inlineStr">
        <is>
          <t>Kaynak: Pilot Implementation Plan, Task 5. Bu bir ŞABLONdur — pilot başlamadan gerçek veri yok. Sarı hücreler her hafta girilir, siyah hücreler formüldür. Ortalama saat ücreti/kr değerleri finance/pilot-unit-economics.xlsx ile TUTARLI tutulmalı.</t>
        </is>
      </c>
    </row>
    <row r="4" ht="48" customHeight="1">
      <c r="A4" s="3" t="inlineStr">
        <is>
          <t>Hafta</t>
        </is>
      </c>
      <c r="B4" s="3" t="inlineStr">
        <is>
          <t>Yeni aile</t>
        </is>
      </c>
      <c r="C4" s="3" t="inlineStr">
        <is>
          <t>Toplam aktif aile (kümülatif)</t>
        </is>
      </c>
      <c r="D4" s="3" t="inlineStr">
        <is>
          <t>Teslim edilen hizmet saati</t>
        </is>
      </c>
      <c r="E4" s="3" t="inlineStr">
        <is>
          <t>Ortalama saat fiyatı (kr, KDV dahil)</t>
        </is>
      </c>
      <c r="F4" s="3" t="inlineStr">
        <is>
          <t>Brüt hasılat (kr)</t>
        </is>
      </c>
      <c r="G4" s="3" t="inlineStr">
        <is>
          <t>MVA (kr)</t>
        </is>
      </c>
      <c r="H4" s="3" t="inlineStr">
        <is>
          <t>Net hasılat (kr)</t>
        </is>
      </c>
      <c r="I4" s="3" t="inlineStr">
        <is>
          <t>Yardımcı yüklü maliyet (kr)</t>
        </is>
      </c>
      <c r="J4" s="3" t="inlineStr">
        <is>
          <t>Seyahat+koordinasyon (kr)</t>
        </is>
      </c>
      <c r="K4" s="3" t="inlineStr">
        <is>
          <t>Ödeme işleme (kr)</t>
        </is>
      </c>
      <c r="L4" s="3" t="inlineStr">
        <is>
          <t>Toplam doğrudan maliyet (kr)</t>
        </is>
      </c>
      <c r="M4" s="3" t="inlineStr">
        <is>
          <t>Katkı (kr)</t>
        </is>
      </c>
      <c r="N4" s="3" t="inlineStr">
        <is>
          <t>Katkı marjı (%)</t>
        </is>
      </c>
    </row>
    <row r="5">
      <c r="A5" s="4" t="n">
        <v>1</v>
      </c>
      <c r="B5" s="5" t="n">
        <v>5</v>
      </c>
      <c r="C5" s="4">
        <f>B5</f>
        <v/>
      </c>
      <c r="D5" s="5" t="n">
        <v>15</v>
      </c>
      <c r="E5" s="5" t="n">
        <v>895</v>
      </c>
      <c r="F5" s="6">
        <f>D5*E5</f>
        <v/>
      </c>
      <c r="G5" s="6">
        <f>F5*(0.25/1.25)</f>
        <v/>
      </c>
      <c r="H5" s="6">
        <f>F5-G5</f>
        <v/>
      </c>
      <c r="I5" s="7">
        <f>D5*321.2</f>
        <v/>
      </c>
      <c r="J5" s="6">
        <f>D5*130.6</f>
        <v/>
      </c>
      <c r="K5" s="7">
        <f>F5*0.02</f>
        <v/>
      </c>
      <c r="L5" s="8">
        <f>SUM(I5:K5)</f>
        <v/>
      </c>
      <c r="M5" s="8">
        <f>H5-L5</f>
        <v/>
      </c>
      <c r="N5" s="9">
        <f>IF(H5=0,0,M5/H5)</f>
        <v/>
      </c>
    </row>
    <row r="6">
      <c r="A6" s="4" t="n">
        <v>2</v>
      </c>
      <c r="B6" s="10" t="n"/>
      <c r="C6" s="4">
        <f>C5+B6</f>
        <v/>
      </c>
      <c r="D6" s="10" t="n"/>
      <c r="E6" s="10" t="n">
        <v>895</v>
      </c>
      <c r="F6" s="6">
        <f>D6*E6</f>
        <v/>
      </c>
      <c r="G6" s="6">
        <f>F6*(0.25/1.25)</f>
        <v/>
      </c>
      <c r="H6" s="6">
        <f>F6-G6</f>
        <v/>
      </c>
      <c r="I6" s="7">
        <f>D6*321.2</f>
        <v/>
      </c>
      <c r="J6" s="6">
        <f>D6*130.6</f>
        <v/>
      </c>
      <c r="K6" s="7">
        <f>F6*0.02</f>
        <v/>
      </c>
      <c r="L6" s="8">
        <f>SUM(I6:K6)</f>
        <v/>
      </c>
      <c r="M6" s="8">
        <f>H6-L6</f>
        <v/>
      </c>
      <c r="N6" s="9">
        <f>IF(H6=0,0,M6/H6)</f>
        <v/>
      </c>
    </row>
    <row r="7">
      <c r="A7" s="4" t="n">
        <v>3</v>
      </c>
      <c r="B7" s="10" t="n"/>
      <c r="C7" s="4">
        <f>C6+B7</f>
        <v/>
      </c>
      <c r="D7" s="10" t="n"/>
      <c r="E7" s="10" t="n">
        <v>895</v>
      </c>
      <c r="F7" s="6">
        <f>D7*E7</f>
        <v/>
      </c>
      <c r="G7" s="6">
        <f>F7*(0.25/1.25)</f>
        <v/>
      </c>
      <c r="H7" s="6">
        <f>F7-G7</f>
        <v/>
      </c>
      <c r="I7" s="7">
        <f>D7*321.2</f>
        <v/>
      </c>
      <c r="J7" s="6">
        <f>D7*130.6</f>
        <v/>
      </c>
      <c r="K7" s="7">
        <f>F7*0.02</f>
        <v/>
      </c>
      <c r="L7" s="8">
        <f>SUM(I7:K7)</f>
        <v/>
      </c>
      <c r="M7" s="8">
        <f>H7-L7</f>
        <v/>
      </c>
      <c r="N7" s="9">
        <f>IF(H7=0,0,M7/H7)</f>
        <v/>
      </c>
    </row>
    <row r="8">
      <c r="A8" s="4" t="n">
        <v>4</v>
      </c>
      <c r="B8" s="10" t="n"/>
      <c r="C8" s="4">
        <f>C7+B8</f>
        <v/>
      </c>
      <c r="D8" s="10" t="n"/>
      <c r="E8" s="10" t="n">
        <v>895</v>
      </c>
      <c r="F8" s="6">
        <f>D8*E8</f>
        <v/>
      </c>
      <c r="G8" s="6">
        <f>F8*(0.25/1.25)</f>
        <v/>
      </c>
      <c r="H8" s="6">
        <f>F8-G8</f>
        <v/>
      </c>
      <c r="I8" s="7">
        <f>D8*321.2</f>
        <v/>
      </c>
      <c r="J8" s="6">
        <f>D8*130.6</f>
        <v/>
      </c>
      <c r="K8" s="7">
        <f>F8*0.02</f>
        <v/>
      </c>
      <c r="L8" s="8">
        <f>SUM(I8:K8)</f>
        <v/>
      </c>
      <c r="M8" s="8">
        <f>H8-L8</f>
        <v/>
      </c>
      <c r="N8" s="9">
        <f>IF(H8=0,0,M8/H8)</f>
        <v/>
      </c>
    </row>
    <row r="9">
      <c r="A9" s="4" t="n">
        <v>5</v>
      </c>
      <c r="B9" s="10" t="n"/>
      <c r="C9" s="4">
        <f>C8+B9</f>
        <v/>
      </c>
      <c r="D9" s="10" t="n"/>
      <c r="E9" s="10" t="n">
        <v>895</v>
      </c>
      <c r="F9" s="6">
        <f>D9*E9</f>
        <v/>
      </c>
      <c r="G9" s="6">
        <f>F9*(0.25/1.25)</f>
        <v/>
      </c>
      <c r="H9" s="6">
        <f>F9-G9</f>
        <v/>
      </c>
      <c r="I9" s="7">
        <f>D9*321.2</f>
        <v/>
      </c>
      <c r="J9" s="6">
        <f>D9*130.6</f>
        <v/>
      </c>
      <c r="K9" s="7">
        <f>F9*0.02</f>
        <v/>
      </c>
      <c r="L9" s="8">
        <f>SUM(I9:K9)</f>
        <v/>
      </c>
      <c r="M9" s="8">
        <f>H9-L9</f>
        <v/>
      </c>
      <c r="N9" s="9">
        <f>IF(H9=0,0,M9/H9)</f>
        <v/>
      </c>
    </row>
    <row r="10">
      <c r="A10" s="4" t="n">
        <v>6</v>
      </c>
      <c r="B10" s="10" t="n"/>
      <c r="C10" s="4">
        <f>C9+B10</f>
        <v/>
      </c>
      <c r="D10" s="10" t="n"/>
      <c r="E10" s="10" t="n">
        <v>895</v>
      </c>
      <c r="F10" s="6">
        <f>D10*E10</f>
        <v/>
      </c>
      <c r="G10" s="6">
        <f>F10*(0.25/1.25)</f>
        <v/>
      </c>
      <c r="H10" s="6">
        <f>F10-G10</f>
        <v/>
      </c>
      <c r="I10" s="7">
        <f>D10*321.2</f>
        <v/>
      </c>
      <c r="J10" s="6">
        <f>D10*130.6</f>
        <v/>
      </c>
      <c r="K10" s="7">
        <f>F10*0.02</f>
        <v/>
      </c>
      <c r="L10" s="8">
        <f>SUM(I10:K10)</f>
        <v/>
      </c>
      <c r="M10" s="8">
        <f>H10-L10</f>
        <v/>
      </c>
      <c r="N10" s="9">
        <f>IF(H10=0,0,M10/H10)</f>
        <v/>
      </c>
    </row>
    <row r="11">
      <c r="A11" s="4" t="n">
        <v>7</v>
      </c>
      <c r="B11" s="10" t="n"/>
      <c r="C11" s="4">
        <f>C10+B11</f>
        <v/>
      </c>
      <c r="D11" s="10" t="n"/>
      <c r="E11" s="10" t="n">
        <v>895</v>
      </c>
      <c r="F11" s="6">
        <f>D11*E11</f>
        <v/>
      </c>
      <c r="G11" s="6">
        <f>F11*(0.25/1.25)</f>
        <v/>
      </c>
      <c r="H11" s="6">
        <f>F11-G11</f>
        <v/>
      </c>
      <c r="I11" s="7">
        <f>D11*321.2</f>
        <v/>
      </c>
      <c r="J11" s="6">
        <f>D11*130.6</f>
        <v/>
      </c>
      <c r="K11" s="7">
        <f>F11*0.02</f>
        <v/>
      </c>
      <c r="L11" s="8">
        <f>SUM(I11:K11)</f>
        <v/>
      </c>
      <c r="M11" s="8">
        <f>H11-L11</f>
        <v/>
      </c>
      <c r="N11" s="9">
        <f>IF(H11=0,0,M11/H11)</f>
        <v/>
      </c>
    </row>
    <row r="12">
      <c r="A12" s="4" t="n">
        <v>8</v>
      </c>
      <c r="B12" s="10" t="n"/>
      <c r="C12" s="4">
        <f>C11+B12</f>
        <v/>
      </c>
      <c r="D12" s="10" t="n"/>
      <c r="E12" s="10" t="n">
        <v>895</v>
      </c>
      <c r="F12" s="6">
        <f>D12*E12</f>
        <v/>
      </c>
      <c r="G12" s="6">
        <f>F12*(0.25/1.25)</f>
        <v/>
      </c>
      <c r="H12" s="6">
        <f>F12-G12</f>
        <v/>
      </c>
      <c r="I12" s="7">
        <f>D12*321.2</f>
        <v/>
      </c>
      <c r="J12" s="6">
        <f>D12*130.6</f>
        <v/>
      </c>
      <c r="K12" s="7">
        <f>F12*0.02</f>
        <v/>
      </c>
      <c r="L12" s="8">
        <f>SUM(I12:K12)</f>
        <v/>
      </c>
      <c r="M12" s="8">
        <f>H12-L12</f>
        <v/>
      </c>
      <c r="N12" s="9">
        <f>IF(H12=0,0,M12/H12)</f>
        <v/>
      </c>
    </row>
    <row r="13">
      <c r="A13" s="4" t="n">
        <v>9</v>
      </c>
      <c r="B13" s="10" t="n"/>
      <c r="C13" s="4">
        <f>C12+B13</f>
        <v/>
      </c>
      <c r="D13" s="10" t="n"/>
      <c r="E13" s="10" t="n">
        <v>895</v>
      </c>
      <c r="F13" s="6">
        <f>D13*E13</f>
        <v/>
      </c>
      <c r="G13" s="6">
        <f>F13*(0.25/1.25)</f>
        <v/>
      </c>
      <c r="H13" s="6">
        <f>F13-G13</f>
        <v/>
      </c>
      <c r="I13" s="7">
        <f>D13*321.2</f>
        <v/>
      </c>
      <c r="J13" s="6">
        <f>D13*130.6</f>
        <v/>
      </c>
      <c r="K13" s="7">
        <f>F13*0.02</f>
        <v/>
      </c>
      <c r="L13" s="8">
        <f>SUM(I13:K13)</f>
        <v/>
      </c>
      <c r="M13" s="8">
        <f>H13-L13</f>
        <v/>
      </c>
      <c r="N13" s="9">
        <f>IF(H13=0,0,M13/H13)</f>
        <v/>
      </c>
    </row>
    <row r="14">
      <c r="A14" s="4" t="n">
        <v>10</v>
      </c>
      <c r="B14" s="10" t="n"/>
      <c r="C14" s="4">
        <f>C13+B14</f>
        <v/>
      </c>
      <c r="D14" s="10" t="n"/>
      <c r="E14" s="10" t="n">
        <v>895</v>
      </c>
      <c r="F14" s="6">
        <f>D14*E14</f>
        <v/>
      </c>
      <c r="G14" s="6">
        <f>F14*(0.25/1.25)</f>
        <v/>
      </c>
      <c r="H14" s="6">
        <f>F14-G14</f>
        <v/>
      </c>
      <c r="I14" s="7">
        <f>D14*321.2</f>
        <v/>
      </c>
      <c r="J14" s="6">
        <f>D14*130.6</f>
        <v/>
      </c>
      <c r="K14" s="7">
        <f>F14*0.02</f>
        <v/>
      </c>
      <c r="L14" s="8">
        <f>SUM(I14:K14)</f>
        <v/>
      </c>
      <c r="M14" s="8">
        <f>H14-L14</f>
        <v/>
      </c>
      <c r="N14" s="9">
        <f>IF(H14=0,0,M14/H14)</f>
        <v/>
      </c>
    </row>
    <row r="15">
      <c r="A15" s="4" t="n">
        <v>11</v>
      </c>
      <c r="B15" s="10" t="n"/>
      <c r="C15" s="4">
        <f>C14+B15</f>
        <v/>
      </c>
      <c r="D15" s="10" t="n"/>
      <c r="E15" s="10" t="n">
        <v>895</v>
      </c>
      <c r="F15" s="6">
        <f>D15*E15</f>
        <v/>
      </c>
      <c r="G15" s="6">
        <f>F15*(0.25/1.25)</f>
        <v/>
      </c>
      <c r="H15" s="6">
        <f>F15-G15</f>
        <v/>
      </c>
      <c r="I15" s="7">
        <f>D15*321.2</f>
        <v/>
      </c>
      <c r="J15" s="6">
        <f>D15*130.6</f>
        <v/>
      </c>
      <c r="K15" s="7">
        <f>F15*0.02</f>
        <v/>
      </c>
      <c r="L15" s="8">
        <f>SUM(I15:K15)</f>
        <v/>
      </c>
      <c r="M15" s="8">
        <f>H15-L15</f>
        <v/>
      </c>
      <c r="N15" s="9">
        <f>IF(H15=0,0,M15/H15)</f>
        <v/>
      </c>
    </row>
    <row r="16">
      <c r="A16" s="4" t="n">
        <v>12</v>
      </c>
      <c r="B16" s="10" t="n"/>
      <c r="C16" s="4">
        <f>C15+B16</f>
        <v/>
      </c>
      <c r="D16" s="10" t="n"/>
      <c r="E16" s="10" t="n">
        <v>895</v>
      </c>
      <c r="F16" s="6">
        <f>D16*E16</f>
        <v/>
      </c>
      <c r="G16" s="6">
        <f>F16*(0.25/1.25)</f>
        <v/>
      </c>
      <c r="H16" s="6">
        <f>F16-G16</f>
        <v/>
      </c>
      <c r="I16" s="7">
        <f>D16*321.2</f>
        <v/>
      </c>
      <c r="J16" s="6">
        <f>D16*130.6</f>
        <v/>
      </c>
      <c r="K16" s="7">
        <f>F16*0.02</f>
        <v/>
      </c>
      <c r="L16" s="8">
        <f>SUM(I16:K16)</f>
        <v/>
      </c>
      <c r="M16" s="8">
        <f>H16-L16</f>
        <v/>
      </c>
      <c r="N16" s="9">
        <f>IF(H16=0,0,M16/H16)</f>
        <v/>
      </c>
    </row>
    <row r="18" ht="30" customHeight="1">
      <c r="A18" s="11" t="inlineStr">
        <is>
          <t>Not: satır 9-10'daki 321,2 kr/saat ve 130,6 kr/saat, finance/pilot-unit-economics.xlsx'in 90 dk senaryosundan (kr/1,5 saat) türetilmiş sabit yaklaşık değerlerdir — ziyaret süresi karışımı değiştikçe bu şablon güncellenmeli, otomatik bağlı değildir.</t>
        </is>
      </c>
    </row>
  </sheetData>
  <mergeCells count="2">
    <mergeCell ref="A18:N18"/>
    <mergeCell ref="A2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2026-08-26T01:11:41Z</dcterms:created>
  <dcterms:modified xsi:type="dcterms:W3CDTF">2026-08-26T01:11:41Z</dcterms:modified>
</cp:coreProperties>
</file>